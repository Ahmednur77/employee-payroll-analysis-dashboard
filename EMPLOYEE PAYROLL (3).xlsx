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BE6A7FB2-0924-467F-A7BC-A295D15B9BB3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heet1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6" i="1" l="1"/>
  <c r="B24" i="2"/>
  <c r="E26" i="2" s="1"/>
  <c r="B25" i="2"/>
  <c r="E27" i="2" s="1"/>
  <c r="B26" i="2"/>
  <c r="E28" i="2" s="1"/>
  <c r="B27" i="2"/>
  <c r="E29" i="2" s="1"/>
  <c r="B28" i="2"/>
  <c r="E30" i="2" s="1"/>
  <c r="B29" i="2"/>
  <c r="E31" i="2" s="1"/>
  <c r="B30" i="2"/>
  <c r="E32" i="2" s="1"/>
  <c r="B31" i="2"/>
  <c r="E33" i="2" s="1"/>
  <c r="B32" i="2"/>
  <c r="E34" i="2" s="1"/>
  <c r="A32" i="2"/>
  <c r="D34" i="2" s="1"/>
  <c r="A24" i="2"/>
  <c r="D26" i="2" s="1"/>
  <c r="A25" i="2"/>
  <c r="D27" i="2" s="1"/>
  <c r="A26" i="2"/>
  <c r="D28" i="2" s="1"/>
  <c r="A27" i="2"/>
  <c r="D29" i="2" s="1"/>
  <c r="A28" i="2"/>
  <c r="D30" i="2" s="1"/>
  <c r="A29" i="2"/>
  <c r="D31" i="2" s="1"/>
  <c r="A30" i="2"/>
  <c r="D32" i="2" s="1"/>
  <c r="A31" i="2"/>
  <c r="D33" i="2" s="1"/>
  <c r="B23" i="2"/>
  <c r="E25" i="2" s="1"/>
  <c r="A23" i="2"/>
  <c r="D25" i="2" s="1"/>
  <c r="D5" i="2"/>
  <c r="Q5" i="1"/>
  <c r="O5" i="1"/>
  <c r="P5" i="1"/>
  <c r="R5" i="1"/>
  <c r="P4" i="1"/>
  <c r="O6" i="1"/>
  <c r="O4" i="1"/>
  <c r="N8" i="1"/>
  <c r="N7" i="1"/>
  <c r="N6" i="1"/>
  <c r="N5" i="1"/>
  <c r="N13" i="1"/>
  <c r="N12" i="1"/>
  <c r="N11" i="1"/>
  <c r="N10" i="1"/>
  <c r="N9" i="1"/>
  <c r="N4" i="1"/>
  <c r="O7" i="1"/>
  <c r="O8" i="1"/>
  <c r="O9" i="1"/>
  <c r="O10" i="1"/>
  <c r="O11" i="1"/>
  <c r="O12" i="1"/>
  <c r="O13" i="1"/>
  <c r="I6" i="1"/>
  <c r="I7" i="1"/>
  <c r="I8" i="1"/>
  <c r="I9" i="1"/>
  <c r="I10" i="1"/>
  <c r="I11" i="1"/>
  <c r="I12" i="1"/>
  <c r="I13" i="1"/>
  <c r="D15" i="1"/>
  <c r="O15" i="1"/>
  <c r="O16" i="1"/>
  <c r="O17" i="1"/>
  <c r="O18" i="1"/>
  <c r="Y3" i="1"/>
  <c r="Z3" i="1" s="1"/>
  <c r="AA3" i="1" s="1"/>
  <c r="AB3" i="1" s="1"/>
  <c r="S13" i="1"/>
  <c r="S12" i="1"/>
  <c r="S11" i="1"/>
  <c r="S10" i="1"/>
  <c r="S9" i="1"/>
  <c r="S8" i="1"/>
  <c r="S7" i="1"/>
  <c r="S6" i="1"/>
  <c r="T3" i="1"/>
  <c r="U3" i="1" s="1"/>
  <c r="V3" i="1" s="1"/>
  <c r="W3" i="1" s="1"/>
  <c r="R4" i="1"/>
  <c r="R13" i="1"/>
  <c r="R12" i="1"/>
  <c r="R11" i="1"/>
  <c r="R10" i="1"/>
  <c r="R9" i="1"/>
  <c r="R8" i="1"/>
  <c r="R7" i="1"/>
  <c r="R6" i="1"/>
  <c r="Q13" i="1"/>
  <c r="Q12" i="1"/>
  <c r="Q11" i="1"/>
  <c r="Q10" i="1"/>
  <c r="Q9" i="1"/>
  <c r="Q8" i="1"/>
  <c r="Q7" i="1"/>
  <c r="Q6" i="1"/>
  <c r="Q4" i="1"/>
  <c r="P13" i="1"/>
  <c r="P12" i="1"/>
  <c r="P11" i="1"/>
  <c r="P10" i="1"/>
  <c r="P9" i="1"/>
  <c r="P8" i="1"/>
  <c r="P7" i="1"/>
  <c r="P6" i="1"/>
  <c r="O3" i="1"/>
  <c r="P3" i="1" s="1"/>
  <c r="Q3" i="1" s="1"/>
  <c r="R3" i="1" s="1"/>
  <c r="L4" i="1"/>
  <c r="V4" i="1" s="1"/>
  <c r="K4" i="1"/>
  <c r="U4" i="1" s="1"/>
  <c r="J13" i="1"/>
  <c r="T13" i="1" s="1"/>
  <c r="Y13" i="1" s="1"/>
  <c r="J12" i="1"/>
  <c r="T12" i="1" s="1"/>
  <c r="Y12" i="1" s="1"/>
  <c r="J11" i="1"/>
  <c r="T11" i="1" s="1"/>
  <c r="Y11" i="1" s="1"/>
  <c r="J10" i="1"/>
  <c r="T10" i="1" s="1"/>
  <c r="Y10" i="1" s="1"/>
  <c r="J9" i="1"/>
  <c r="T9" i="1" s="1"/>
  <c r="Y9" i="1" s="1"/>
  <c r="J8" i="1"/>
  <c r="T8" i="1" s="1"/>
  <c r="Y8" i="1" s="1"/>
  <c r="J7" i="1"/>
  <c r="T7" i="1" s="1"/>
  <c r="Y7" i="1" s="1"/>
  <c r="J6" i="1"/>
  <c r="T6" i="1" s="1"/>
  <c r="Y6" i="1" s="1"/>
  <c r="J5" i="1"/>
  <c r="T5" i="1" s="1"/>
  <c r="Y5" i="1" s="1"/>
  <c r="J4" i="1"/>
  <c r="T4" i="1" s="1"/>
  <c r="M13" i="1"/>
  <c r="W13" i="1" s="1"/>
  <c r="M12" i="1"/>
  <c r="W12" i="1" s="1"/>
  <c r="M11" i="1"/>
  <c r="W11" i="1" s="1"/>
  <c r="M10" i="1"/>
  <c r="W10" i="1" s="1"/>
  <c r="M9" i="1"/>
  <c r="W9" i="1" s="1"/>
  <c r="M8" i="1"/>
  <c r="W8" i="1" s="1"/>
  <c r="M7" i="1"/>
  <c r="W7" i="1" s="1"/>
  <c r="M6" i="1"/>
  <c r="W6" i="1" s="1"/>
  <c r="M5" i="1"/>
  <c r="M4" i="1"/>
  <c r="W4" i="1" s="1"/>
  <c r="L13" i="1"/>
  <c r="V13" i="1" s="1"/>
  <c r="L12" i="1"/>
  <c r="V12" i="1" s="1"/>
  <c r="L11" i="1"/>
  <c r="V11" i="1" s="1"/>
  <c r="L10" i="1"/>
  <c r="V10" i="1" s="1"/>
  <c r="L9" i="1"/>
  <c r="V9" i="1" s="1"/>
  <c r="L8" i="1"/>
  <c r="V8" i="1" s="1"/>
  <c r="L7" i="1"/>
  <c r="V7" i="1" s="1"/>
  <c r="L6" i="1"/>
  <c r="V6" i="1" s="1"/>
  <c r="L5" i="1"/>
  <c r="V5" i="1" s="1"/>
  <c r="AA5" i="1" s="1"/>
  <c r="K13" i="1"/>
  <c r="U13" i="1" s="1"/>
  <c r="K12" i="1"/>
  <c r="U12" i="1" s="1"/>
  <c r="K11" i="1"/>
  <c r="U11" i="1" s="1"/>
  <c r="K10" i="1"/>
  <c r="U10" i="1" s="1"/>
  <c r="K9" i="1"/>
  <c r="U9" i="1" s="1"/>
  <c r="K8" i="1"/>
  <c r="U8" i="1" s="1"/>
  <c r="K7" i="1"/>
  <c r="U7" i="1" s="1"/>
  <c r="K6" i="1"/>
  <c r="U6" i="1" s="1"/>
  <c r="K5" i="1"/>
  <c r="U5" i="1" s="1"/>
  <c r="Z5" i="1" s="1"/>
  <c r="J3" i="1"/>
  <c r="K3" i="1" s="1"/>
  <c r="L3" i="1" s="1"/>
  <c r="M3" i="1" s="1"/>
  <c r="F18" i="1"/>
  <c r="G18" i="1"/>
  <c r="H18" i="1"/>
  <c r="E18" i="1"/>
  <c r="F17" i="1"/>
  <c r="G17" i="1"/>
  <c r="H17" i="1"/>
  <c r="E17" i="1"/>
  <c r="F16" i="1"/>
  <c r="G16" i="1"/>
  <c r="H16" i="1"/>
  <c r="E16" i="1"/>
  <c r="F15" i="1"/>
  <c r="G15" i="1"/>
  <c r="H15" i="1"/>
  <c r="E15" i="1"/>
  <c r="E3" i="1"/>
  <c r="F3" i="1" s="1"/>
  <c r="G3" i="1" s="1"/>
  <c r="H3" i="1" s="1"/>
  <c r="I4" i="1"/>
  <c r="I5" i="1"/>
  <c r="S5" i="1" s="1"/>
  <c r="D18" i="1"/>
  <c r="D17" i="1"/>
  <c r="C15" i="1"/>
  <c r="D16" i="1"/>
  <c r="C17" i="1"/>
  <c r="C16" i="1"/>
  <c r="X6" i="1"/>
  <c r="X5" i="1"/>
  <c r="X7" i="1"/>
  <c r="X8" i="1"/>
  <c r="X9" i="1"/>
  <c r="X10" i="1"/>
  <c r="X11" i="1"/>
  <c r="X12" i="1"/>
  <c r="X13" i="1"/>
  <c r="B8" i="2" l="1"/>
  <c r="S4" i="1"/>
  <c r="N15" i="1"/>
  <c r="N16" i="1"/>
  <c r="N17" i="1"/>
  <c r="W5" i="1"/>
  <c r="T15" i="1"/>
  <c r="T16" i="1"/>
  <c r="T17" i="1"/>
  <c r="T18" i="1"/>
  <c r="Y4" i="1"/>
  <c r="U15" i="1"/>
  <c r="U16" i="1"/>
  <c r="U17" i="1"/>
  <c r="U18" i="1"/>
  <c r="Z4" i="1"/>
  <c r="V18" i="1"/>
  <c r="V17" i="1"/>
  <c r="V16" i="1"/>
  <c r="V15" i="1"/>
  <c r="Z6" i="1"/>
  <c r="Z7" i="1"/>
  <c r="Z8" i="1"/>
  <c r="Z9" i="1"/>
  <c r="Z10" i="1"/>
  <c r="P15" i="1"/>
  <c r="P16" i="1"/>
  <c r="P17" i="1"/>
  <c r="P18" i="1"/>
  <c r="Z11" i="1"/>
  <c r="Z12" i="1"/>
  <c r="Z13" i="1"/>
  <c r="AA4" i="1"/>
  <c r="Q15" i="1"/>
  <c r="Q16" i="1"/>
  <c r="Q17" i="1"/>
  <c r="Q18" i="1"/>
  <c r="AA6" i="1"/>
  <c r="AA7" i="1"/>
  <c r="AA8" i="1"/>
  <c r="AA9" i="1"/>
  <c r="AA10" i="1"/>
  <c r="AA11" i="1"/>
  <c r="AA12" i="1"/>
  <c r="AA13" i="1"/>
  <c r="AB6" i="1"/>
  <c r="AB7" i="1"/>
  <c r="AB8" i="1"/>
  <c r="AB9" i="1"/>
  <c r="AB10" i="1"/>
  <c r="AB11" i="1"/>
  <c r="AB12" i="1"/>
  <c r="AB13" i="1"/>
  <c r="AB4" i="1"/>
  <c r="R15" i="1"/>
  <c r="R16" i="1"/>
  <c r="R17" i="1"/>
  <c r="R18" i="1"/>
  <c r="AA15" i="1"/>
  <c r="AA16" i="1"/>
  <c r="AA17" i="1"/>
  <c r="AA18" i="1"/>
  <c r="Y15" i="1"/>
  <c r="Y16" i="1"/>
  <c r="Y17" i="1"/>
  <c r="Y18" i="1"/>
  <c r="Z15" i="1"/>
  <c r="Z16" i="1"/>
  <c r="Z17" i="1"/>
  <c r="Z18" i="1"/>
  <c r="N18" i="1"/>
  <c r="AB5" i="1" l="1"/>
  <c r="AD5" i="1" s="1"/>
  <c r="W18" i="1"/>
  <c r="W17" i="1"/>
  <c r="W16" i="1"/>
  <c r="W15" i="1"/>
  <c r="AB18" i="1"/>
  <c r="AB17" i="1"/>
  <c r="AB16" i="1"/>
  <c r="AB15" i="1"/>
  <c r="AD13" i="1"/>
  <c r="AD12" i="1"/>
  <c r="AD11" i="1"/>
  <c r="AD10" i="1"/>
  <c r="AD9" i="1"/>
  <c r="AD8" i="1"/>
  <c r="AD7" i="1"/>
  <c r="AD6" i="1"/>
  <c r="S18" i="1"/>
  <c r="S17" i="1"/>
  <c r="S16" i="1"/>
  <c r="S15" i="1"/>
  <c r="X4" i="1"/>
  <c r="AD4" i="1" l="1"/>
  <c r="X18" i="1"/>
  <c r="X17" i="1"/>
  <c r="X16" i="1"/>
  <c r="X15" i="1"/>
  <c r="D8" i="2" l="1"/>
  <c r="F5" i="2"/>
  <c r="B5" i="2"/>
  <c r="AD15" i="1"/>
  <c r="AD18" i="1"/>
  <c r="AD17" i="1"/>
</calcChain>
</file>

<file path=xl/sharedStrings.xml><?xml version="1.0" encoding="utf-8"?>
<sst xmlns="http://schemas.openxmlformats.org/spreadsheetml/2006/main" count="47" uniqueCount="44">
  <si>
    <t>EMPLOYEE PAYROLL</t>
  </si>
  <si>
    <t>Mr Atom</t>
  </si>
  <si>
    <t>HOURS WORKED</t>
  </si>
  <si>
    <t>OVERTIME HOURS</t>
  </si>
  <si>
    <t>PAY</t>
  </si>
  <si>
    <t>OVERTIME BONUS</t>
  </si>
  <si>
    <t>TOTAL PAY</t>
  </si>
  <si>
    <t>JANUARY PAY</t>
  </si>
  <si>
    <t>FIRST NAME</t>
  </si>
  <si>
    <t xml:space="preserve">LAST NAME </t>
  </si>
  <si>
    <t>HOURLY WAGE</t>
  </si>
  <si>
    <t>Brain</t>
  </si>
  <si>
    <t>Mwangi</t>
  </si>
  <si>
    <t>Ahmed</t>
  </si>
  <si>
    <t>Abdi</t>
  </si>
  <si>
    <t xml:space="preserve">Grace </t>
  </si>
  <si>
    <t>Wanjiku</t>
  </si>
  <si>
    <t>Daniel</t>
  </si>
  <si>
    <t>Otieno</t>
  </si>
  <si>
    <t>maryy</t>
  </si>
  <si>
    <t>Atieno</t>
  </si>
  <si>
    <t>Peter</t>
  </si>
  <si>
    <t>Kiptoo</t>
  </si>
  <si>
    <t>Faith</t>
  </si>
  <si>
    <t>Njeri</t>
  </si>
  <si>
    <t>Amina</t>
  </si>
  <si>
    <t>Hassan</t>
  </si>
  <si>
    <t>Kevin</t>
  </si>
  <si>
    <t>Kamau</t>
  </si>
  <si>
    <t>Nawal</t>
  </si>
  <si>
    <t xml:space="preserve">max </t>
  </si>
  <si>
    <t>min</t>
  </si>
  <si>
    <t>average</t>
  </si>
  <si>
    <t>Total</t>
  </si>
  <si>
    <t>EMPLOYEE PAYROLL DASHBOARD</t>
  </si>
  <si>
    <t>Payroll Period</t>
  </si>
  <si>
    <t>January</t>
  </si>
  <si>
    <t>Total January Payroll</t>
  </si>
  <si>
    <t>Number of Employees</t>
  </si>
  <si>
    <t>Average Employee Pay</t>
  </si>
  <si>
    <t>Total Overtime Hours</t>
  </si>
  <si>
    <t>Highest Employee Pay</t>
  </si>
  <si>
    <t xml:space="preserve">EMPLOYEE </t>
  </si>
  <si>
    <t>EMPLYEE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</si>
</sst>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5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8" tint="-0.249977111117893"/>
      <name val="Calibri"/>
      <charset val="1"/>
    </font>
    <font>
      <b/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0" fontId="0" fillId="4" borderId="0" xfId="0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16" fontId="0" fillId="7" borderId="0" xfId="0" applyNumberFormat="1" applyFill="1"/>
    <xf numFmtId="164" fontId="0" fillId="7" borderId="0" xfId="0" applyNumberFormat="1" applyFill="1"/>
    <xf numFmtId="0" fontId="0" fillId="8" borderId="0" xfId="0" applyFill="1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  <color rgb="FF0000BF"/>
      <color rgb="FF092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PAYROLL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DASHBOARD!$A$23:$A$32</c:f>
              <c:strCache>
                <c:ptCount val="10"/>
                <c:pt idx="0">
                  <c:v>Brain Mwangi</c:v>
                </c:pt>
                <c:pt idx="1">
                  <c:v>Ahmed Abdi</c:v>
                </c:pt>
                <c:pt idx="2">
                  <c:v>Grace  Wanjiku</c:v>
                </c:pt>
                <c:pt idx="3">
                  <c:v>Daniel Otieno</c:v>
                </c:pt>
                <c:pt idx="4">
                  <c:v>maryy Atieno</c:v>
                </c:pt>
                <c:pt idx="5">
                  <c:v>Peter Kiptoo</c:v>
                </c:pt>
                <c:pt idx="6">
                  <c:v>Faith Njeri</c:v>
                </c:pt>
                <c:pt idx="7">
                  <c:v>Amina Hassan</c:v>
                </c:pt>
                <c:pt idx="8">
                  <c:v>Kevin Kamau</c:v>
                </c:pt>
                <c:pt idx="9">
                  <c:v>Nawal Abdi</c:v>
                </c:pt>
              </c:strCache>
            </c:strRef>
          </c:cat>
          <c:val>
            <c:numRef>
              <c:f>DASHBOARD!$B$23:$B$32</c:f>
              <c:numCache>
                <c:formatCode>"$"#,##0.00</c:formatCode>
                <c:ptCount val="10"/>
                <c:pt idx="0">
                  <c:v>3195.9</c:v>
                </c:pt>
                <c:pt idx="1">
                  <c:v>2085</c:v>
                </c:pt>
                <c:pt idx="2">
                  <c:v>4406.3500000000004</c:v>
                </c:pt>
                <c:pt idx="3">
                  <c:v>6840</c:v>
                </c:pt>
                <c:pt idx="4">
                  <c:v>6140.2000000000007</c:v>
                </c:pt>
                <c:pt idx="5">
                  <c:v>6091.7</c:v>
                </c:pt>
                <c:pt idx="6">
                  <c:v>8971</c:v>
                </c:pt>
                <c:pt idx="7">
                  <c:v>5233</c:v>
                </c:pt>
                <c:pt idx="8">
                  <c:v>5907</c:v>
                </c:pt>
                <c:pt idx="9">
                  <c:v>6174.85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A16-B9E8-2FB10324F1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1705735"/>
        <c:axId val="1821707783"/>
      </c:barChart>
      <c:catAx>
        <c:axId val="1821705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7783"/>
        <c:crosses val="autoZero"/>
        <c:auto val="1"/>
        <c:lblAlgn val="ctr"/>
        <c:lblOffset val="100"/>
        <c:noMultiLvlLbl val="0"/>
      </c:catAx>
      <c:valAx>
        <c:axId val="182170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Payroll Distribution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6A-438F-A537-A47F0BB4A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6A-438F-A537-A47F0BB4A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6A-438F-A537-A47F0BB4AF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6A-438F-A537-A47F0BB4AF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6A-438F-A537-A47F0BB4AF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6A-438F-A537-A47F0BB4AF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6A-438F-A537-A47F0BB4AF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6A-438F-A537-A47F0BB4AF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6A-438F-A537-A47F0BB4AF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6A-438F-A537-A47F0BB4AF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DASHBOARD!$D$25:$D$34</c:f>
              <c:strCache>
                <c:ptCount val="10"/>
                <c:pt idx="0">
                  <c:v>Brain Mwangi</c:v>
                </c:pt>
                <c:pt idx="1">
                  <c:v>Ahmed Abdi</c:v>
                </c:pt>
                <c:pt idx="2">
                  <c:v>Grace  Wanjiku</c:v>
                </c:pt>
                <c:pt idx="3">
                  <c:v>Daniel Otieno</c:v>
                </c:pt>
                <c:pt idx="4">
                  <c:v>maryy Atieno</c:v>
                </c:pt>
                <c:pt idx="5">
                  <c:v>Peter Kiptoo</c:v>
                </c:pt>
                <c:pt idx="6">
                  <c:v>Faith Njeri</c:v>
                </c:pt>
                <c:pt idx="7">
                  <c:v>Amina Hassan</c:v>
                </c:pt>
                <c:pt idx="8">
                  <c:v>Kevin Kamau</c:v>
                </c:pt>
                <c:pt idx="9">
                  <c:v>Nawal Abdi</c:v>
                </c:pt>
              </c:strCache>
            </c:strRef>
          </c:cat>
          <c:val>
            <c:numRef>
              <c:f>DASHBOARD!$E$25:$E$34</c:f>
              <c:numCache>
                <c:formatCode>"$"#,##0.00</c:formatCode>
                <c:ptCount val="10"/>
                <c:pt idx="0">
                  <c:v>3195.9</c:v>
                </c:pt>
                <c:pt idx="1">
                  <c:v>2085</c:v>
                </c:pt>
                <c:pt idx="2">
                  <c:v>4406.3500000000004</c:v>
                </c:pt>
                <c:pt idx="3">
                  <c:v>6840</c:v>
                </c:pt>
                <c:pt idx="4">
                  <c:v>6140.2000000000007</c:v>
                </c:pt>
                <c:pt idx="5">
                  <c:v>6091.7</c:v>
                </c:pt>
                <c:pt idx="6">
                  <c:v>8971</c:v>
                </c:pt>
                <c:pt idx="7">
                  <c:v>5233</c:v>
                </c:pt>
                <c:pt idx="8">
                  <c:v>5907</c:v>
                </c:pt>
                <c:pt idx="9">
                  <c:v>6174.85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3-4C6F-B894-AFE7A0D1B6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38100</xdr:rowOff>
    </xdr:from>
    <xdr:to>
      <xdr:col>2</xdr:col>
      <xdr:colOff>762000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B8201-23CD-1966-DB85-EE0EF4E8B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1181100</xdr:colOff>
      <xdr:row>8</xdr:row>
      <xdr:rowOff>9525</xdr:rowOff>
    </xdr:from>
    <xdr:to>
      <xdr:col>5</xdr:col>
      <xdr:colOff>381000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775A1B-A2A1-0A17-DA26-54F30F1C8966}"/>
            </a:ext>
            <a:ext uri="{147F2762-F138-4A5C-976F-8EAC2B608ADB}">
              <a16:predDERef xmlns:a16="http://schemas.microsoft.com/office/drawing/2014/main" pred="{433B8201-23CD-1966-DB85-EE0EF4E8B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tabSelected="1" workbookViewId="0">
      <selection activeCell="C8" sqref="C8"/>
    </sheetView>
  </sheetViews>
  <sheetFormatPr defaultRowHeight="15"/>
  <cols>
    <col min="1" max="1" width="19.85546875" customWidth="1"/>
    <col min="2" max="2" width="11.7109375" bestFit="1" customWidth="1"/>
    <col min="3" max="3" width="14.5703125" bestFit="1" customWidth="1"/>
    <col min="4" max="4" width="16" bestFit="1" customWidth="1"/>
    <col min="5" max="8" width="16" customWidth="1"/>
    <col min="9" max="9" width="17.42578125" bestFit="1" customWidth="1"/>
    <col min="10" max="10" width="8.42578125" customWidth="1"/>
    <col min="11" max="11" width="11" customWidth="1"/>
    <col min="12" max="12" width="11.28515625" customWidth="1"/>
    <col min="13" max="13" width="11.85546875" customWidth="1"/>
    <col min="15" max="15" width="14.7109375" customWidth="1"/>
    <col min="16" max="16" width="14.28515625" customWidth="1"/>
    <col min="17" max="17" width="17.7109375" customWidth="1"/>
    <col min="18" max="18" width="17.140625" customWidth="1"/>
    <col min="19" max="19" width="17.85546875" customWidth="1"/>
    <col min="20" max="20" width="12.5703125" customWidth="1"/>
    <col min="21" max="21" width="10.85546875" customWidth="1"/>
    <col min="22" max="23" width="9.85546875" customWidth="1"/>
    <col min="25" max="28" width="10.85546875" bestFit="1" customWidth="1"/>
    <col min="29" max="29" width="3.5703125" customWidth="1"/>
    <col min="30" max="30" width="13.28515625" bestFit="1" customWidth="1"/>
  </cols>
  <sheetData>
    <row r="1" spans="1:30">
      <c r="A1" t="s">
        <v>0</v>
      </c>
      <c r="C1" t="s">
        <v>1</v>
      </c>
    </row>
    <row r="2" spans="1:30">
      <c r="D2" t="s">
        <v>2</v>
      </c>
      <c r="I2" t="s">
        <v>3</v>
      </c>
      <c r="N2" t="s">
        <v>4</v>
      </c>
      <c r="S2" t="s">
        <v>5</v>
      </c>
      <c r="X2" t="s">
        <v>6</v>
      </c>
      <c r="AD2" t="s">
        <v>7</v>
      </c>
    </row>
    <row r="3" spans="1:30">
      <c r="A3" s="13" t="s">
        <v>8</v>
      </c>
      <c r="B3" s="13" t="s">
        <v>9</v>
      </c>
      <c r="C3" t="s">
        <v>10</v>
      </c>
      <c r="D3" s="2">
        <v>46023</v>
      </c>
      <c r="E3" s="2">
        <f>D3+7</f>
        <v>46030</v>
      </c>
      <c r="F3" s="2">
        <f>E3+7</f>
        <v>46037</v>
      </c>
      <c r="G3" s="2">
        <f>F3+7</f>
        <v>46044</v>
      </c>
      <c r="H3" s="2">
        <f>G3+7</f>
        <v>46051</v>
      </c>
      <c r="I3" s="4">
        <v>46023</v>
      </c>
      <c r="J3" s="4">
        <f>I3+7</f>
        <v>46030</v>
      </c>
      <c r="K3" s="4">
        <f t="shared" ref="K3:M3" si="0">J3+7</f>
        <v>46037</v>
      </c>
      <c r="L3" s="4">
        <f t="shared" si="0"/>
        <v>46044</v>
      </c>
      <c r="M3" s="4">
        <f t="shared" si="0"/>
        <v>46051</v>
      </c>
      <c r="N3" s="7">
        <v>46023</v>
      </c>
      <c r="O3" s="7">
        <f>N3+7</f>
        <v>46030</v>
      </c>
      <c r="P3" s="7">
        <f>O3+7</f>
        <v>46037</v>
      </c>
      <c r="Q3" s="7">
        <f>P3+7</f>
        <v>46044</v>
      </c>
      <c r="R3" s="7">
        <f>Q3+7</f>
        <v>46051</v>
      </c>
      <c r="S3" s="9">
        <v>46023</v>
      </c>
      <c r="T3" s="9">
        <f>S3+7</f>
        <v>46030</v>
      </c>
      <c r="U3" s="9">
        <f t="shared" ref="U3:W3" si="1">T3+7</f>
        <v>46037</v>
      </c>
      <c r="V3" s="9">
        <f t="shared" si="1"/>
        <v>46044</v>
      </c>
      <c r="W3" s="9">
        <f>V3+7</f>
        <v>46051</v>
      </c>
      <c r="X3" s="11">
        <v>46023</v>
      </c>
      <c r="Y3" s="11">
        <f>X3+7</f>
        <v>46030</v>
      </c>
      <c r="Z3" s="11">
        <f t="shared" ref="Z3:AB3" si="2">Y3+7</f>
        <v>46037</v>
      </c>
      <c r="AA3" s="11">
        <f t="shared" si="2"/>
        <v>46044</v>
      </c>
      <c r="AB3" s="11">
        <f t="shared" si="2"/>
        <v>46051</v>
      </c>
    </row>
    <row r="4" spans="1:30">
      <c r="A4" s="13" t="s">
        <v>11</v>
      </c>
      <c r="B4" s="13" t="s">
        <v>12</v>
      </c>
      <c r="C4" s="1">
        <v>15.9</v>
      </c>
      <c r="D4" s="3">
        <v>40</v>
      </c>
      <c r="E4" s="3">
        <v>42</v>
      </c>
      <c r="F4" s="3">
        <v>39</v>
      </c>
      <c r="G4" s="3">
        <v>30</v>
      </c>
      <c r="H4" s="3">
        <v>46</v>
      </c>
      <c r="I4" s="5">
        <f>IF(D4&gt;40,D4-40,0)</f>
        <v>0</v>
      </c>
      <c r="J4" s="5">
        <f>IF(E4&gt;40,E4-40,0)</f>
        <v>2</v>
      </c>
      <c r="K4" s="5">
        <f>IF(F4&gt;40,F4-40,0)</f>
        <v>0</v>
      </c>
      <c r="L4" s="5">
        <f>IF(G4&gt;40,G4-40,0)</f>
        <v>0</v>
      </c>
      <c r="M4" s="5">
        <f>IF(H4&gt;40,H4-40,0)</f>
        <v>6</v>
      </c>
      <c r="N4" s="8">
        <f>$C4*D4</f>
        <v>636</v>
      </c>
      <c r="O4" s="8">
        <f>$C4*E4</f>
        <v>667.80000000000007</v>
      </c>
      <c r="P4" s="8">
        <f>$C4*F4</f>
        <v>620.1</v>
      </c>
      <c r="Q4" s="8">
        <f>$C4*G4</f>
        <v>477</v>
      </c>
      <c r="R4" s="8">
        <f>$C4*H4</f>
        <v>731.4</v>
      </c>
      <c r="S4" s="10">
        <f>0.5*$C4*I4</f>
        <v>0</v>
      </c>
      <c r="T4" s="10">
        <f>0.5*$C4*J4</f>
        <v>15.9</v>
      </c>
      <c r="U4" s="10">
        <f t="shared" ref="U4:U13" si="3">0.5*$C4*K4</f>
        <v>0</v>
      </c>
      <c r="V4" s="10">
        <f t="shared" ref="V4:V13" si="4">0.5*$C4*L4</f>
        <v>0</v>
      </c>
      <c r="W4" s="10">
        <f>0.5*$C4*M4</f>
        <v>47.7</v>
      </c>
      <c r="X4" s="12">
        <f>N4+S4</f>
        <v>636</v>
      </c>
      <c r="Y4" s="12">
        <f t="shared" ref="Y4:AB4" si="5">O4+T4</f>
        <v>683.7</v>
      </c>
      <c r="Z4" s="12">
        <f t="shared" si="5"/>
        <v>620.1</v>
      </c>
      <c r="AA4" s="12">
        <f t="shared" si="5"/>
        <v>477</v>
      </c>
      <c r="AB4" s="12">
        <f t="shared" si="5"/>
        <v>779.1</v>
      </c>
      <c r="AD4" s="1">
        <f>SUM(X4:AB4)</f>
        <v>3195.9</v>
      </c>
    </row>
    <row r="5" spans="1:30">
      <c r="A5" s="13" t="s">
        <v>13</v>
      </c>
      <c r="B5" s="13" t="s">
        <v>14</v>
      </c>
      <c r="C5" s="1">
        <v>10</v>
      </c>
      <c r="D5" s="3">
        <v>42</v>
      </c>
      <c r="E5" s="3">
        <v>41</v>
      </c>
      <c r="F5" s="3">
        <v>40</v>
      </c>
      <c r="G5" s="3">
        <v>38</v>
      </c>
      <c r="H5" s="3">
        <v>44</v>
      </c>
      <c r="I5" s="5">
        <f t="shared" ref="I5:I13" si="6">IF(D5&gt;40,D5-40,0)</f>
        <v>2</v>
      </c>
      <c r="J5" s="5">
        <f t="shared" ref="J5" si="7">IF(E5&gt;40,E5-40,0)</f>
        <v>1</v>
      </c>
      <c r="K5" s="5">
        <f t="shared" ref="J5:K5" si="8">IF(F5&gt;40,F5-40,0)</f>
        <v>0</v>
      </c>
      <c r="L5" s="5">
        <f t="shared" ref="L5:M5" si="9">IF(G5&gt;40,G5-40,0)</f>
        <v>0</v>
      </c>
      <c r="M5" s="5">
        <f t="shared" si="9"/>
        <v>4</v>
      </c>
      <c r="N5" s="8">
        <f>$C5*D5</f>
        <v>420</v>
      </c>
      <c r="O5" s="8">
        <f>$C5*E5</f>
        <v>410</v>
      </c>
      <c r="P5" s="8">
        <f t="shared" ref="O5:R5" si="10">$C5*F5</f>
        <v>400</v>
      </c>
      <c r="Q5" s="8">
        <f>$C5*G5</f>
        <v>380</v>
      </c>
      <c r="R5" s="8">
        <f t="shared" si="10"/>
        <v>440</v>
      </c>
      <c r="S5" s="10">
        <f>0.5*$C5*I5</f>
        <v>10</v>
      </c>
      <c r="T5" s="10">
        <f>0.5*$C5*J5</f>
        <v>5</v>
      </c>
      <c r="U5" s="10">
        <f>0.5*$C5*K5</f>
        <v>0</v>
      </c>
      <c r="V5" s="10">
        <f>0.5*$C5*L5</f>
        <v>0</v>
      </c>
      <c r="W5" s="10">
        <f>0.5*$C5*M5</f>
        <v>20</v>
      </c>
      <c r="X5" s="12">
        <f>N5+S5</f>
        <v>430</v>
      </c>
      <c r="Y5" s="12">
        <f>O5+T5</f>
        <v>415</v>
      </c>
      <c r="Z5" s="12">
        <f t="shared" ref="Y5:AB13" si="11">P5+U5</f>
        <v>400</v>
      </c>
      <c r="AA5" s="12">
        <f t="shared" si="11"/>
        <v>380</v>
      </c>
      <c r="AB5" s="12">
        <f t="shared" si="11"/>
        <v>460</v>
      </c>
      <c r="AD5" s="1">
        <f>SUM(X5:AB5)</f>
        <v>2085</v>
      </c>
    </row>
    <row r="6" spans="1:30">
      <c r="A6" s="13" t="s">
        <v>15</v>
      </c>
      <c r="B6" s="13" t="s">
        <v>16</v>
      </c>
      <c r="C6" s="1">
        <v>22.1</v>
      </c>
      <c r="D6" s="3">
        <v>49</v>
      </c>
      <c r="E6" s="3">
        <v>40</v>
      </c>
      <c r="F6" s="3">
        <v>33</v>
      </c>
      <c r="G6" s="3">
        <v>20</v>
      </c>
      <c r="H6" s="3">
        <v>18</v>
      </c>
      <c r="I6" s="5">
        <f t="shared" si="6"/>
        <v>9</v>
      </c>
      <c r="J6" s="5">
        <f t="shared" ref="J6" si="12">IF(E6&gt;40,E6-40,0)</f>
        <v>0</v>
      </c>
      <c r="K6" s="5">
        <f t="shared" ref="J6:K6" si="13">IF(F6&gt;40,F6-40,0)</f>
        <v>0</v>
      </c>
      <c r="L6" s="5">
        <f t="shared" ref="L6:M6" si="14">IF(G6&gt;40,G6-40,0)</f>
        <v>0</v>
      </c>
      <c r="M6" s="5">
        <f t="shared" si="14"/>
        <v>0</v>
      </c>
      <c r="N6" s="8">
        <f>$C6*D6</f>
        <v>1082.9000000000001</v>
      </c>
      <c r="O6" s="8">
        <f>$C6*E6</f>
        <v>884</v>
      </c>
      <c r="P6" s="8">
        <f>E6*F6</f>
        <v>1320</v>
      </c>
      <c r="Q6" s="8">
        <f>F6*G6</f>
        <v>660</v>
      </c>
      <c r="R6" s="8">
        <f>G6*H6</f>
        <v>360</v>
      </c>
      <c r="S6" s="10">
        <f>0.5*$C6*I6</f>
        <v>99.45</v>
      </c>
      <c r="T6" s="10">
        <f>0.5*$C6*J6</f>
        <v>0</v>
      </c>
      <c r="U6" s="10">
        <f>0.5*$C6*K6</f>
        <v>0</v>
      </c>
      <c r="V6" s="10">
        <f>0.5*$C6*L6</f>
        <v>0</v>
      </c>
      <c r="W6" s="10">
        <f>0.5*$C6*M6</f>
        <v>0</v>
      </c>
      <c r="X6" s="12">
        <f>N6+S6</f>
        <v>1182.3500000000001</v>
      </c>
      <c r="Y6" s="12">
        <f t="shared" si="11"/>
        <v>884</v>
      </c>
      <c r="Z6" s="12">
        <f t="shared" si="11"/>
        <v>1320</v>
      </c>
      <c r="AA6" s="12">
        <f t="shared" si="11"/>
        <v>660</v>
      </c>
      <c r="AB6" s="12">
        <f t="shared" si="11"/>
        <v>360</v>
      </c>
      <c r="AD6" s="1">
        <f>SUM(X6:AB6)</f>
        <v>4406.3500000000004</v>
      </c>
    </row>
    <row r="7" spans="1:30">
      <c r="A7" s="13" t="s">
        <v>17</v>
      </c>
      <c r="B7" s="13" t="s">
        <v>18</v>
      </c>
      <c r="C7" s="1">
        <v>19.100000000000001</v>
      </c>
      <c r="D7" s="3">
        <v>41</v>
      </c>
      <c r="E7" s="3">
        <v>50</v>
      </c>
      <c r="F7" s="3">
        <v>47</v>
      </c>
      <c r="G7" s="3">
        <v>30</v>
      </c>
      <c r="H7" s="3">
        <v>39</v>
      </c>
      <c r="I7" s="5">
        <f t="shared" si="6"/>
        <v>1</v>
      </c>
      <c r="J7" s="5">
        <f t="shared" ref="J7" si="15">IF(E7&gt;40,E7-40,0)</f>
        <v>10</v>
      </c>
      <c r="K7" s="5">
        <f t="shared" ref="J7:K7" si="16">IF(F7&gt;40,F7-40,0)</f>
        <v>7</v>
      </c>
      <c r="L7" s="5">
        <f t="shared" ref="L7:M7" si="17">IF(G7&gt;40,G7-40,0)</f>
        <v>0</v>
      </c>
      <c r="M7" s="5">
        <f t="shared" si="17"/>
        <v>0</v>
      </c>
      <c r="N7" s="8">
        <f>$C7*D7</f>
        <v>783.1</v>
      </c>
      <c r="O7" s="8">
        <f>$C7*E7</f>
        <v>955.00000000000011</v>
      </c>
      <c r="P7" s="8">
        <f t="shared" ref="P7:R13" si="18">E7*F7</f>
        <v>2350</v>
      </c>
      <c r="Q7" s="8">
        <f t="shared" si="18"/>
        <v>1410</v>
      </c>
      <c r="R7" s="8">
        <f t="shared" si="18"/>
        <v>1170</v>
      </c>
      <c r="S7" s="10">
        <f>0.5*$C7*I7</f>
        <v>9.5500000000000007</v>
      </c>
      <c r="T7" s="10">
        <f>0.5*$C7*J7</f>
        <v>95.5</v>
      </c>
      <c r="U7" s="10">
        <f>0.5*$C7*K7</f>
        <v>66.850000000000009</v>
      </c>
      <c r="V7" s="10">
        <f>0.5*$C7*L7</f>
        <v>0</v>
      </c>
      <c r="W7" s="10">
        <f>0.5*$C7*M7</f>
        <v>0</v>
      </c>
      <c r="X7" s="12">
        <f>N7+S7</f>
        <v>792.65</v>
      </c>
      <c r="Y7" s="12">
        <f t="shared" si="11"/>
        <v>1050.5</v>
      </c>
      <c r="Z7" s="12">
        <f t="shared" si="11"/>
        <v>2416.85</v>
      </c>
      <c r="AA7" s="12">
        <f t="shared" si="11"/>
        <v>1410</v>
      </c>
      <c r="AB7" s="12">
        <f t="shared" si="11"/>
        <v>1170</v>
      </c>
      <c r="AD7" s="1">
        <f>SUM(X7:AB7)</f>
        <v>6840</v>
      </c>
    </row>
    <row r="8" spans="1:30">
      <c r="A8" s="13" t="s">
        <v>19</v>
      </c>
      <c r="B8" s="13" t="s">
        <v>20</v>
      </c>
      <c r="C8" s="1">
        <v>6.9</v>
      </c>
      <c r="D8" s="3">
        <v>39</v>
      </c>
      <c r="E8" s="3">
        <v>52</v>
      </c>
      <c r="F8" s="3">
        <v>42</v>
      </c>
      <c r="G8" s="3">
        <v>40</v>
      </c>
      <c r="H8" s="3">
        <v>40</v>
      </c>
      <c r="I8" s="5">
        <f t="shared" si="6"/>
        <v>0</v>
      </c>
      <c r="J8" s="5">
        <f t="shared" ref="J8" si="19">IF(E8&gt;40,E8-40,0)</f>
        <v>12</v>
      </c>
      <c r="K8" s="5">
        <f t="shared" ref="J8:K8" si="20">IF(F8&gt;40,F8-40,0)</f>
        <v>2</v>
      </c>
      <c r="L8" s="5">
        <f t="shared" ref="L8:M8" si="21">IF(G8&gt;40,G8-40,0)</f>
        <v>0</v>
      </c>
      <c r="M8" s="5">
        <f t="shared" si="21"/>
        <v>0</v>
      </c>
      <c r="N8" s="8">
        <f>$C8*D8</f>
        <v>269.10000000000002</v>
      </c>
      <c r="O8" s="8">
        <f>$C8*E8</f>
        <v>358.8</v>
      </c>
      <c r="P8" s="8">
        <f t="shared" si="18"/>
        <v>2184</v>
      </c>
      <c r="Q8" s="8">
        <f t="shared" si="18"/>
        <v>1680</v>
      </c>
      <c r="R8" s="8">
        <f t="shared" si="18"/>
        <v>1600</v>
      </c>
      <c r="S8" s="10">
        <f>0.5*$C8*I8</f>
        <v>0</v>
      </c>
      <c r="T8" s="10">
        <f>0.5*$C8*J8</f>
        <v>41.400000000000006</v>
      </c>
      <c r="U8" s="10">
        <f>0.5*$C8*K8</f>
        <v>6.9</v>
      </c>
      <c r="V8" s="10">
        <f>0.5*$C8*L8</f>
        <v>0</v>
      </c>
      <c r="W8" s="10">
        <f>0.5*$C8*M8</f>
        <v>0</v>
      </c>
      <c r="X8" s="12">
        <f>N8+S8</f>
        <v>269.10000000000002</v>
      </c>
      <c r="Y8" s="12">
        <f t="shared" si="11"/>
        <v>400.20000000000005</v>
      </c>
      <c r="Z8" s="12">
        <f t="shared" si="11"/>
        <v>2190.9</v>
      </c>
      <c r="AA8" s="12">
        <f t="shared" si="11"/>
        <v>1680</v>
      </c>
      <c r="AB8" s="12">
        <f t="shared" si="11"/>
        <v>1600</v>
      </c>
      <c r="AD8" s="1">
        <f>SUM(X8:AB8)</f>
        <v>6140.2000000000007</v>
      </c>
    </row>
    <row r="9" spans="1:30">
      <c r="A9" s="13" t="s">
        <v>21</v>
      </c>
      <c r="B9" s="13" t="s">
        <v>22</v>
      </c>
      <c r="C9" s="1">
        <v>14.2</v>
      </c>
      <c r="D9" s="3">
        <v>44</v>
      </c>
      <c r="E9" s="3">
        <v>51</v>
      </c>
      <c r="F9" s="3">
        <v>42</v>
      </c>
      <c r="G9" s="3">
        <v>40</v>
      </c>
      <c r="H9" s="3">
        <v>20</v>
      </c>
      <c r="I9" s="5">
        <f t="shared" si="6"/>
        <v>4</v>
      </c>
      <c r="J9" s="5">
        <f t="shared" ref="J9" si="22">IF(E9&gt;40,E9-40,0)</f>
        <v>11</v>
      </c>
      <c r="K9" s="5">
        <f t="shared" ref="J9:K9" si="23">IF(F9&gt;40,F9-40,0)</f>
        <v>2</v>
      </c>
      <c r="L9" s="5">
        <f t="shared" ref="L9:M9" si="24">IF(G9&gt;40,G9-40,0)</f>
        <v>0</v>
      </c>
      <c r="M9" s="5">
        <f t="shared" si="24"/>
        <v>0</v>
      </c>
      <c r="N9" s="8">
        <f>$C9*D9</f>
        <v>624.79999999999995</v>
      </c>
      <c r="O9" s="8">
        <f>$C9*E9</f>
        <v>724.19999999999993</v>
      </c>
      <c r="P9" s="8">
        <f t="shared" si="18"/>
        <v>2142</v>
      </c>
      <c r="Q9" s="8">
        <f t="shared" si="18"/>
        <v>1680</v>
      </c>
      <c r="R9" s="8">
        <f t="shared" si="18"/>
        <v>800</v>
      </c>
      <c r="S9" s="10">
        <f>0.5*$C9*I9</f>
        <v>28.4</v>
      </c>
      <c r="T9" s="10">
        <f>0.5*$C9*J9</f>
        <v>78.099999999999994</v>
      </c>
      <c r="U9" s="10">
        <f>0.5*$C9*K9</f>
        <v>14.2</v>
      </c>
      <c r="V9" s="10">
        <f>0.5*$C9*L9</f>
        <v>0</v>
      </c>
      <c r="W9" s="10">
        <f>0.5*$C9*M9</f>
        <v>0</v>
      </c>
      <c r="X9" s="12">
        <f>N9+S9</f>
        <v>653.19999999999993</v>
      </c>
      <c r="Y9" s="12">
        <f t="shared" si="11"/>
        <v>802.3</v>
      </c>
      <c r="Z9" s="12">
        <f t="shared" si="11"/>
        <v>2156.1999999999998</v>
      </c>
      <c r="AA9" s="12">
        <f t="shared" si="11"/>
        <v>1680</v>
      </c>
      <c r="AB9" s="12">
        <f t="shared" si="11"/>
        <v>800</v>
      </c>
      <c r="AD9" s="1">
        <f>SUM(X9:AB9)</f>
        <v>6091.7</v>
      </c>
    </row>
    <row r="10" spans="1:30">
      <c r="A10" s="13" t="s">
        <v>23</v>
      </c>
      <c r="B10" s="13" t="s">
        <v>24</v>
      </c>
      <c r="C10" s="1">
        <v>18</v>
      </c>
      <c r="D10" s="3">
        <v>55</v>
      </c>
      <c r="E10" s="3">
        <v>60</v>
      </c>
      <c r="F10" s="3">
        <v>45</v>
      </c>
      <c r="G10" s="3">
        <v>40</v>
      </c>
      <c r="H10" s="3">
        <v>49</v>
      </c>
      <c r="I10" s="5">
        <f t="shared" si="6"/>
        <v>15</v>
      </c>
      <c r="J10" s="5">
        <f t="shared" ref="J10" si="25">IF(E10&gt;40,E10-40,0)</f>
        <v>20</v>
      </c>
      <c r="K10" s="5">
        <f t="shared" ref="J10:K10" si="26">IF(F10&gt;40,F10-40,0)</f>
        <v>5</v>
      </c>
      <c r="L10" s="5">
        <f t="shared" ref="L10:M10" si="27">IF(G10&gt;40,G10-40,0)</f>
        <v>0</v>
      </c>
      <c r="M10" s="5">
        <f t="shared" si="27"/>
        <v>9</v>
      </c>
      <c r="N10" s="8">
        <f>$C10*D10</f>
        <v>990</v>
      </c>
      <c r="O10" s="8">
        <f>$C10*E10</f>
        <v>1080</v>
      </c>
      <c r="P10" s="8">
        <f t="shared" si="18"/>
        <v>2700</v>
      </c>
      <c r="Q10" s="8">
        <f t="shared" si="18"/>
        <v>1800</v>
      </c>
      <c r="R10" s="8">
        <f t="shared" si="18"/>
        <v>1960</v>
      </c>
      <c r="S10" s="10">
        <f>0.5*$C10*I10</f>
        <v>135</v>
      </c>
      <c r="T10" s="10">
        <f>0.5*$C10*J10</f>
        <v>180</v>
      </c>
      <c r="U10" s="10">
        <f>0.5*$C10*K10</f>
        <v>45</v>
      </c>
      <c r="V10" s="10">
        <f>0.5*$C10*L10</f>
        <v>0</v>
      </c>
      <c r="W10" s="10">
        <f>0.5*$C10*M10</f>
        <v>81</v>
      </c>
      <c r="X10" s="12">
        <f>N10+S10</f>
        <v>1125</v>
      </c>
      <c r="Y10" s="12">
        <f t="shared" si="11"/>
        <v>1260</v>
      </c>
      <c r="Z10" s="12">
        <f t="shared" si="11"/>
        <v>2745</v>
      </c>
      <c r="AA10" s="12">
        <f t="shared" si="11"/>
        <v>1800</v>
      </c>
      <c r="AB10" s="12">
        <f t="shared" si="11"/>
        <v>2041</v>
      </c>
      <c r="AD10" s="1">
        <f>SUM(X10:AB10)</f>
        <v>8971</v>
      </c>
    </row>
    <row r="11" spans="1:30">
      <c r="A11" s="13" t="s">
        <v>25</v>
      </c>
      <c r="B11" s="13" t="s">
        <v>26</v>
      </c>
      <c r="C11" s="1">
        <v>17.5</v>
      </c>
      <c r="D11" s="3">
        <v>33</v>
      </c>
      <c r="E11" s="3">
        <v>22</v>
      </c>
      <c r="F11" s="3">
        <v>54</v>
      </c>
      <c r="G11" s="3">
        <v>40</v>
      </c>
      <c r="H11" s="3">
        <v>20</v>
      </c>
      <c r="I11" s="5">
        <f t="shared" si="6"/>
        <v>0</v>
      </c>
      <c r="J11" s="5">
        <f t="shared" ref="J11" si="28">IF(E11&gt;40,E11-40,0)</f>
        <v>0</v>
      </c>
      <c r="K11" s="5">
        <f t="shared" ref="J11:K11" si="29">IF(F11&gt;40,F11-40,0)</f>
        <v>14</v>
      </c>
      <c r="L11" s="5">
        <f t="shared" ref="L11:M11" si="30">IF(G11&gt;40,G11-40,0)</f>
        <v>0</v>
      </c>
      <c r="M11" s="5">
        <f t="shared" si="30"/>
        <v>0</v>
      </c>
      <c r="N11" s="8">
        <f t="shared" ref="N11:N13" si="31">$C11*D11</f>
        <v>577.5</v>
      </c>
      <c r="O11" s="8">
        <f t="shared" ref="O11:O13" si="32">$C11*E11</f>
        <v>385</v>
      </c>
      <c r="P11" s="8">
        <f t="shared" si="18"/>
        <v>1188</v>
      </c>
      <c r="Q11" s="8">
        <f t="shared" si="18"/>
        <v>2160</v>
      </c>
      <c r="R11" s="8">
        <f t="shared" si="18"/>
        <v>800</v>
      </c>
      <c r="S11" s="10">
        <f t="shared" ref="S11:S13" si="33">0.5*$C11*I11</f>
        <v>0</v>
      </c>
      <c r="T11" s="10">
        <f t="shared" ref="T11:T13" si="34">0.5*$C11*J11</f>
        <v>0</v>
      </c>
      <c r="U11" s="10">
        <f t="shared" si="3"/>
        <v>122.5</v>
      </c>
      <c r="V11" s="10">
        <f t="shared" si="4"/>
        <v>0</v>
      </c>
      <c r="W11" s="10">
        <f t="shared" ref="W11:W13" si="35">0.5*$C11*M11</f>
        <v>0</v>
      </c>
      <c r="X11" s="12">
        <f>N11+S11</f>
        <v>577.5</v>
      </c>
      <c r="Y11" s="12">
        <f t="shared" si="11"/>
        <v>385</v>
      </c>
      <c r="Z11" s="12">
        <f t="shared" si="11"/>
        <v>1310.5</v>
      </c>
      <c r="AA11" s="12">
        <f t="shared" si="11"/>
        <v>2160</v>
      </c>
      <c r="AB11" s="12">
        <f t="shared" si="11"/>
        <v>800</v>
      </c>
      <c r="AD11" s="1">
        <f>SUM(X11:AB11)</f>
        <v>5233</v>
      </c>
    </row>
    <row r="12" spans="1:30">
      <c r="A12" s="13" t="s">
        <v>27</v>
      </c>
      <c r="B12" s="13" t="s">
        <v>28</v>
      </c>
      <c r="C12" s="1">
        <v>14.7</v>
      </c>
      <c r="D12" s="3">
        <v>29</v>
      </c>
      <c r="E12" s="3">
        <v>40</v>
      </c>
      <c r="F12" s="3">
        <v>42</v>
      </c>
      <c r="G12" s="3">
        <v>39</v>
      </c>
      <c r="H12" s="3">
        <v>40</v>
      </c>
      <c r="I12" s="5">
        <f t="shared" si="6"/>
        <v>0</v>
      </c>
      <c r="J12" s="5">
        <f t="shared" ref="J12" si="36">IF(E12&gt;40,E12-40,0)</f>
        <v>0</v>
      </c>
      <c r="K12" s="5">
        <f t="shared" ref="J12:K12" si="37">IF(F12&gt;40,F12-40,0)</f>
        <v>2</v>
      </c>
      <c r="L12" s="5">
        <f t="shared" ref="L12:M12" si="38">IF(G12&gt;40,G12-40,0)</f>
        <v>0</v>
      </c>
      <c r="M12" s="5">
        <f t="shared" si="38"/>
        <v>0</v>
      </c>
      <c r="N12" s="8">
        <f t="shared" si="31"/>
        <v>426.29999999999995</v>
      </c>
      <c r="O12" s="8">
        <f t="shared" si="32"/>
        <v>588</v>
      </c>
      <c r="P12" s="8">
        <f t="shared" si="18"/>
        <v>1680</v>
      </c>
      <c r="Q12" s="8">
        <f t="shared" si="18"/>
        <v>1638</v>
      </c>
      <c r="R12" s="8">
        <f t="shared" si="18"/>
        <v>1560</v>
      </c>
      <c r="S12" s="10">
        <f t="shared" si="33"/>
        <v>0</v>
      </c>
      <c r="T12" s="10">
        <f t="shared" si="34"/>
        <v>0</v>
      </c>
      <c r="U12" s="10">
        <f t="shared" si="3"/>
        <v>14.7</v>
      </c>
      <c r="V12" s="10">
        <f t="shared" si="4"/>
        <v>0</v>
      </c>
      <c r="W12" s="10">
        <f t="shared" si="35"/>
        <v>0</v>
      </c>
      <c r="X12" s="12">
        <f>N12+S12</f>
        <v>426.29999999999995</v>
      </c>
      <c r="Y12" s="12">
        <f t="shared" si="11"/>
        <v>588</v>
      </c>
      <c r="Z12" s="12">
        <f t="shared" si="11"/>
        <v>1694.7</v>
      </c>
      <c r="AA12" s="12">
        <f t="shared" si="11"/>
        <v>1638</v>
      </c>
      <c r="AB12" s="12">
        <f t="shared" si="11"/>
        <v>1560</v>
      </c>
      <c r="AD12" s="1">
        <f>SUM(X12:AB12)</f>
        <v>5907</v>
      </c>
    </row>
    <row r="13" spans="1:30">
      <c r="A13" s="13" t="s">
        <v>29</v>
      </c>
      <c r="B13" s="13" t="s">
        <v>14</v>
      </c>
      <c r="C13" s="1">
        <v>13.9</v>
      </c>
      <c r="D13" s="3">
        <v>40</v>
      </c>
      <c r="E13" s="3">
        <v>40</v>
      </c>
      <c r="F13" s="3">
        <v>41</v>
      </c>
      <c r="G13" s="3">
        <v>42</v>
      </c>
      <c r="H13" s="3">
        <v>40</v>
      </c>
      <c r="I13" s="5">
        <f t="shared" si="6"/>
        <v>0</v>
      </c>
      <c r="J13" s="5">
        <f t="shared" ref="J13" si="39">IF(E13&gt;40,E13-40,0)</f>
        <v>0</v>
      </c>
      <c r="K13" s="5">
        <f t="shared" ref="J13:K13" si="40">IF(F13&gt;40,F13-40,0)</f>
        <v>1</v>
      </c>
      <c r="L13" s="5">
        <f t="shared" ref="L13:M13" si="41">IF(G13&gt;40,G13-40,0)</f>
        <v>2</v>
      </c>
      <c r="M13" s="5">
        <f t="shared" si="41"/>
        <v>0</v>
      </c>
      <c r="N13" s="8">
        <f t="shared" si="31"/>
        <v>556</v>
      </c>
      <c r="O13" s="8">
        <f t="shared" si="32"/>
        <v>556</v>
      </c>
      <c r="P13" s="8">
        <f t="shared" si="18"/>
        <v>1640</v>
      </c>
      <c r="Q13" s="8">
        <f t="shared" si="18"/>
        <v>1722</v>
      </c>
      <c r="R13" s="8">
        <f t="shared" si="18"/>
        <v>1680</v>
      </c>
      <c r="S13" s="10">
        <f t="shared" si="33"/>
        <v>0</v>
      </c>
      <c r="T13" s="10">
        <f t="shared" si="34"/>
        <v>0</v>
      </c>
      <c r="U13" s="10">
        <f t="shared" si="3"/>
        <v>6.95</v>
      </c>
      <c r="V13" s="10">
        <f t="shared" si="4"/>
        <v>13.9</v>
      </c>
      <c r="W13" s="10">
        <f t="shared" si="35"/>
        <v>0</v>
      </c>
      <c r="X13" s="12">
        <f>N13+S13</f>
        <v>556</v>
      </c>
      <c r="Y13" s="12">
        <f t="shared" si="11"/>
        <v>556</v>
      </c>
      <c r="Z13" s="12">
        <f t="shared" si="11"/>
        <v>1646.95</v>
      </c>
      <c r="AA13" s="12">
        <f t="shared" si="11"/>
        <v>1735.9</v>
      </c>
      <c r="AB13" s="12">
        <f t="shared" si="11"/>
        <v>1680</v>
      </c>
      <c r="AD13" s="1">
        <f>SUM(X13:AB13)</f>
        <v>6174.85</v>
      </c>
    </row>
    <row r="14" spans="1:30">
      <c r="D14" s="6"/>
      <c r="E14" s="6"/>
      <c r="F14" s="6"/>
      <c r="G14" s="6"/>
      <c r="H14" s="6"/>
    </row>
    <row r="15" spans="1:30">
      <c r="A15" t="s">
        <v>30</v>
      </c>
      <c r="C15" s="1">
        <f>MAX(C4:C13)</f>
        <v>22.1</v>
      </c>
      <c r="D15">
        <f>MAX(D4:D13)</f>
        <v>55</v>
      </c>
      <c r="E15">
        <f>MAX(E4:E13)</f>
        <v>60</v>
      </c>
      <c r="F15">
        <f t="shared" ref="F15:H15" si="42">MAX(F4:F13)</f>
        <v>54</v>
      </c>
      <c r="G15">
        <f t="shared" si="42"/>
        <v>42</v>
      </c>
      <c r="H15">
        <f t="shared" si="42"/>
        <v>49</v>
      </c>
      <c r="N15" s="1">
        <f>MAX(N4:N13)</f>
        <v>1082.9000000000001</v>
      </c>
      <c r="O15" s="1">
        <f t="shared" ref="O15:R15" si="43">MAX(O4:O13)</f>
        <v>1080</v>
      </c>
      <c r="P15" s="1">
        <f t="shared" si="43"/>
        <v>2700</v>
      </c>
      <c r="Q15" s="1">
        <f t="shared" si="43"/>
        <v>2160</v>
      </c>
      <c r="R15" s="1">
        <f t="shared" si="43"/>
        <v>1960</v>
      </c>
      <c r="S15" s="1">
        <f>MAX(S4:S13)</f>
        <v>135</v>
      </c>
      <c r="T15" s="1">
        <f t="shared" ref="T15:U15" si="44">MAX(T4:T13)</f>
        <v>180</v>
      </c>
      <c r="U15" s="1">
        <f t="shared" si="44"/>
        <v>122.5</v>
      </c>
      <c r="V15" s="1">
        <f>MAX(V4:V13)</f>
        <v>13.9</v>
      </c>
      <c r="W15" s="1">
        <f>MAX(W4:W13)</f>
        <v>81</v>
      </c>
      <c r="X15" s="1">
        <f>MAX(X4:X13)</f>
        <v>1182.3500000000001</v>
      </c>
      <c r="Y15" s="1">
        <f t="shared" ref="Y15:AA15" si="45">MAX(Y4:Y13)</f>
        <v>1260</v>
      </c>
      <c r="Z15" s="1">
        <f t="shared" si="45"/>
        <v>2745</v>
      </c>
      <c r="AA15" s="1">
        <f t="shared" si="45"/>
        <v>2160</v>
      </c>
      <c r="AB15" s="1">
        <f>MAX(AB4:AB13)</f>
        <v>2041</v>
      </c>
      <c r="AD15" s="1">
        <f>MAX(AD4:AD13)</f>
        <v>8971</v>
      </c>
    </row>
    <row r="16" spans="1:30">
      <c r="A16" t="s">
        <v>31</v>
      </c>
      <c r="C16" s="1">
        <f>MIN(C4:C13)</f>
        <v>6.9</v>
      </c>
      <c r="D16">
        <f>MIN(D4:D13)</f>
        <v>29</v>
      </c>
      <c r="E16">
        <f>MIN(E4:E13)</f>
        <v>22</v>
      </c>
      <c r="F16">
        <f t="shared" ref="F16:H16" si="46">MIN(F4:F13)</f>
        <v>33</v>
      </c>
      <c r="G16">
        <f t="shared" si="46"/>
        <v>20</v>
      </c>
      <c r="H16">
        <f t="shared" si="46"/>
        <v>18</v>
      </c>
      <c r="N16" s="1">
        <f>MIN(N4:N13)</f>
        <v>269.10000000000002</v>
      </c>
      <c r="O16" s="1">
        <f t="shared" ref="O16:R16" si="47">MIN(O4:O13)</f>
        <v>358.8</v>
      </c>
      <c r="P16" s="1">
        <f t="shared" si="47"/>
        <v>400</v>
      </c>
      <c r="Q16" s="1">
        <f t="shared" si="47"/>
        <v>380</v>
      </c>
      <c r="R16" s="1">
        <f t="shared" si="47"/>
        <v>360</v>
      </c>
      <c r="S16" s="1">
        <f>MIN(S4:S13)</f>
        <v>0</v>
      </c>
      <c r="T16" s="1">
        <f t="shared" ref="T16:U16" si="48">MIN(T4:T13)</f>
        <v>0</v>
      </c>
      <c r="U16" s="1">
        <f t="shared" si="48"/>
        <v>0</v>
      </c>
      <c r="V16" s="1">
        <f>MIN(V4:V13)</f>
        <v>0</v>
      </c>
      <c r="W16" s="1">
        <f>MIN(W4:W13)</f>
        <v>0</v>
      </c>
      <c r="X16" s="1">
        <f>MIN(X4:X13)</f>
        <v>269.10000000000002</v>
      </c>
      <c r="Y16" s="1">
        <f t="shared" ref="Y16:AA16" si="49">MIN(Y4:Y13)</f>
        <v>385</v>
      </c>
      <c r="Z16" s="1">
        <f t="shared" si="49"/>
        <v>400</v>
      </c>
      <c r="AA16" s="1">
        <f t="shared" si="49"/>
        <v>380</v>
      </c>
      <c r="AB16" s="1">
        <f>MIN(AB4:AB13)</f>
        <v>360</v>
      </c>
      <c r="AD16" s="1">
        <f>MIN(AD4:AD13)</f>
        <v>2085</v>
      </c>
    </row>
    <row r="17" spans="1:30">
      <c r="A17" t="s">
        <v>32</v>
      </c>
      <c r="C17" s="1">
        <f>AVERAGE(C4:C13)</f>
        <v>15.23</v>
      </c>
      <c r="D17">
        <f>AVERAGE(D4:D13)</f>
        <v>41.2</v>
      </c>
      <c r="E17">
        <f>AVERAGE(E4:E13)</f>
        <v>43.8</v>
      </c>
      <c r="F17">
        <f t="shared" ref="F17:H17" si="50">AVERAGE(F4:F13)</f>
        <v>42.5</v>
      </c>
      <c r="G17">
        <f t="shared" si="50"/>
        <v>35.9</v>
      </c>
      <c r="H17">
        <f t="shared" si="50"/>
        <v>35.6</v>
      </c>
      <c r="N17" s="1">
        <f>AVERAGE(N4:N13)</f>
        <v>636.56999999999994</v>
      </c>
      <c r="O17" s="1">
        <f t="shared" ref="O17:R17" si="51">AVERAGE(O4:O13)</f>
        <v>660.88</v>
      </c>
      <c r="P17" s="1">
        <f t="shared" si="51"/>
        <v>1622.41</v>
      </c>
      <c r="Q17" s="1">
        <f t="shared" si="51"/>
        <v>1360.7</v>
      </c>
      <c r="R17" s="1">
        <f t="shared" si="51"/>
        <v>1110.1399999999999</v>
      </c>
      <c r="S17" s="1">
        <f>AVERAGE(S4:S13)</f>
        <v>28.24</v>
      </c>
      <c r="T17" s="1">
        <f t="shared" ref="T17:U17" si="52">AVERAGE(T4:T13)</f>
        <v>41.589999999999996</v>
      </c>
      <c r="U17" s="1">
        <f t="shared" si="52"/>
        <v>27.71</v>
      </c>
      <c r="V17" s="1">
        <f>AVERAGE(V4:V13)</f>
        <v>1.3900000000000001</v>
      </c>
      <c r="W17" s="1">
        <f>AVERAGE(W4:W13)</f>
        <v>14.87</v>
      </c>
      <c r="X17" s="1">
        <f>AVERAGE(X4:X13)</f>
        <v>664.81000000000006</v>
      </c>
      <c r="Y17" s="1">
        <f t="shared" ref="Y17:AA17" si="53">AVERAGE(Y4:Y13)</f>
        <v>702.47</v>
      </c>
      <c r="Z17" s="1">
        <f t="shared" si="53"/>
        <v>1650.1200000000001</v>
      </c>
      <c r="AA17" s="1">
        <f t="shared" si="53"/>
        <v>1362.09</v>
      </c>
      <c r="AB17" s="1">
        <f>AVERAGE(AB4:AB13)</f>
        <v>1125.01</v>
      </c>
      <c r="AD17" s="1">
        <f>AVERAGE(AD4:AD13)</f>
        <v>5504.5</v>
      </c>
    </row>
    <row r="18" spans="1:30">
      <c r="A18" t="s">
        <v>33</v>
      </c>
      <c r="C18" s="1"/>
      <c r="D18">
        <f>SUM(D4:D13)</f>
        <v>412</v>
      </c>
      <c r="E18">
        <f>SUM(E4:E13)</f>
        <v>438</v>
      </c>
      <c r="F18">
        <f t="shared" ref="F18:H18" si="54">SUM(F4:F13)</f>
        <v>425</v>
      </c>
      <c r="G18">
        <f t="shared" si="54"/>
        <v>359</v>
      </c>
      <c r="H18">
        <f t="shared" si="54"/>
        <v>356</v>
      </c>
      <c r="N18" s="1">
        <f>SUM(N4:N13)</f>
        <v>6365.7</v>
      </c>
      <c r="O18" s="1">
        <f t="shared" ref="O18:R18" si="55">SUM(O4:O13)</f>
        <v>6608.8</v>
      </c>
      <c r="P18" s="1">
        <f t="shared" si="55"/>
        <v>16224.1</v>
      </c>
      <c r="Q18" s="1">
        <f t="shared" si="55"/>
        <v>13607</v>
      </c>
      <c r="R18" s="1">
        <f t="shared" si="55"/>
        <v>11101.4</v>
      </c>
      <c r="S18" s="1">
        <f>SUM(S4:S13)</f>
        <v>282.39999999999998</v>
      </c>
      <c r="T18" s="1">
        <f t="shared" ref="T18:U18" si="56">SUM(T4:T13)</f>
        <v>415.9</v>
      </c>
      <c r="U18" s="1">
        <f t="shared" si="56"/>
        <v>277.10000000000002</v>
      </c>
      <c r="V18" s="1">
        <f>SUM(V4:V13)</f>
        <v>13.9</v>
      </c>
      <c r="W18" s="1">
        <f>SUM(W4:W13)</f>
        <v>148.69999999999999</v>
      </c>
      <c r="X18" s="1">
        <f>SUM(X4:X13)</f>
        <v>6648.1</v>
      </c>
      <c r="Y18" s="1">
        <f t="shared" ref="Y18:AA18" si="57">SUM(Y4:Y13)</f>
        <v>7024.7</v>
      </c>
      <c r="Z18" s="1">
        <f t="shared" si="57"/>
        <v>16501.2</v>
      </c>
      <c r="AA18" s="1">
        <f t="shared" si="57"/>
        <v>13620.9</v>
      </c>
      <c r="AB18" s="1">
        <f>SUM(AB4:AB13)</f>
        <v>11250.1</v>
      </c>
      <c r="AD18" s="1">
        <f>SUM(AD4:AD13)</f>
        <v>55045</v>
      </c>
    </row>
  </sheetData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4E63-0677-4D7A-B076-02314F9ECC7A}">
  <dimension ref="A1:F34"/>
  <sheetViews>
    <sheetView workbookViewId="0">
      <selection activeCell="D35" sqref="D35"/>
    </sheetView>
  </sheetViews>
  <sheetFormatPr defaultRowHeight="15"/>
  <cols>
    <col min="1" max="1" width="31.28515625" bestFit="1" customWidth="1"/>
    <col min="2" max="2" width="24.140625" bestFit="1" customWidth="1"/>
    <col min="3" max="3" width="26.7109375" bestFit="1" customWidth="1"/>
    <col min="4" max="4" width="16" bestFit="1" customWidth="1"/>
    <col min="5" max="5" width="27.42578125" bestFit="1" customWidth="1"/>
    <col min="6" max="6" width="12.5703125" customWidth="1"/>
  </cols>
  <sheetData>
    <row r="1" spans="1:6" ht="23.25">
      <c r="A1" s="19" t="s">
        <v>34</v>
      </c>
      <c r="B1" s="19"/>
      <c r="C1" s="19"/>
      <c r="D1" s="19"/>
      <c r="E1" s="19"/>
      <c r="F1" s="19"/>
    </row>
    <row r="3" spans="1:6">
      <c r="A3" t="s">
        <v>35</v>
      </c>
      <c r="B3" t="s">
        <v>36</v>
      </c>
    </row>
    <row r="5" spans="1:6" ht="18.75">
      <c r="A5" s="18" t="s">
        <v>37</v>
      </c>
      <c r="B5" s="15">
        <f>SUM(Sheet1!AD4:AD13)</f>
        <v>55045</v>
      </c>
      <c r="C5" s="18" t="s">
        <v>38</v>
      </c>
      <c r="D5" s="16">
        <f>COUNTA(Sheet1!A4:A13)</f>
        <v>10</v>
      </c>
      <c r="E5" s="18" t="s">
        <v>39</v>
      </c>
      <c r="F5" s="15">
        <f>AVERAGE(Sheet1!AD4:AD13)</f>
        <v>5504.5</v>
      </c>
    </row>
    <row r="8" spans="1:6" ht="18.75">
      <c r="A8" s="18" t="s">
        <v>40</v>
      </c>
      <c r="B8" s="16">
        <f>SUM(Sheet1!I4:M13)</f>
        <v>141</v>
      </c>
      <c r="C8" s="18" t="s">
        <v>41</v>
      </c>
      <c r="D8" s="17">
        <f>MAX(Sheet1!AD4:AD13)</f>
        <v>8971</v>
      </c>
    </row>
    <row r="14" spans="1:6" ht="18.75">
      <c r="C14" s="14"/>
    </row>
    <row r="22" spans="1:5">
      <c r="A22" t="s">
        <v>42</v>
      </c>
      <c r="B22" t="s">
        <v>7</v>
      </c>
    </row>
    <row r="23" spans="1:5">
      <c r="A23" t="str">
        <f>Sheet1!A4&amp;" "&amp;Sheet1!B4</f>
        <v>Brain Mwangi</v>
      </c>
      <c r="B23" s="1">
        <f>Sheet1!AD4</f>
        <v>3195.9</v>
      </c>
    </row>
    <row r="24" spans="1:5">
      <c r="A24" t="str">
        <f>Sheet1!A5&amp;" "&amp;Sheet1!B5</f>
        <v>Ahmed Abdi</v>
      </c>
      <c r="B24" s="1">
        <f>Sheet1!AD5</f>
        <v>2085</v>
      </c>
      <c r="D24" t="s">
        <v>43</v>
      </c>
      <c r="E24" t="s">
        <v>7</v>
      </c>
    </row>
    <row r="25" spans="1:5">
      <c r="A25" t="str">
        <f>Sheet1!A6&amp;" "&amp;Sheet1!B6</f>
        <v>Grace  Wanjiku</v>
      </c>
      <c r="B25" s="1">
        <f>Sheet1!AD6</f>
        <v>4406.3500000000004</v>
      </c>
      <c r="D25" t="str">
        <f>A23</f>
        <v>Brain Mwangi</v>
      </c>
      <c r="E25" s="1">
        <f>B23</f>
        <v>3195.9</v>
      </c>
    </row>
    <row r="26" spans="1:5">
      <c r="A26" t="str">
        <f>Sheet1!A7&amp;" "&amp;Sheet1!B7</f>
        <v>Daniel Otieno</v>
      </c>
      <c r="B26" s="1">
        <f>Sheet1!AD7</f>
        <v>6840</v>
      </c>
      <c r="D26" t="str">
        <f t="shared" ref="D26:D34" si="0">A24</f>
        <v>Ahmed Abdi</v>
      </c>
      <c r="E26" s="1">
        <f t="shared" ref="E26:E34" si="1">B24</f>
        <v>2085</v>
      </c>
    </row>
    <row r="27" spans="1:5">
      <c r="A27" t="str">
        <f>Sheet1!A8&amp;" "&amp;Sheet1!B8</f>
        <v>maryy Atieno</v>
      </c>
      <c r="B27" s="1">
        <f>Sheet1!AD8</f>
        <v>6140.2000000000007</v>
      </c>
      <c r="D27" t="str">
        <f t="shared" si="0"/>
        <v>Grace  Wanjiku</v>
      </c>
      <c r="E27" s="1">
        <f t="shared" si="1"/>
        <v>4406.3500000000004</v>
      </c>
    </row>
    <row r="28" spans="1:5">
      <c r="A28" t="str">
        <f>Sheet1!A9&amp;" "&amp;Sheet1!B9</f>
        <v>Peter Kiptoo</v>
      </c>
      <c r="B28" s="1">
        <f>Sheet1!AD9</f>
        <v>6091.7</v>
      </c>
      <c r="D28" t="str">
        <f t="shared" si="0"/>
        <v>Daniel Otieno</v>
      </c>
      <c r="E28" s="1">
        <f t="shared" si="1"/>
        <v>6840</v>
      </c>
    </row>
    <row r="29" spans="1:5">
      <c r="A29" t="str">
        <f>Sheet1!A10&amp;" "&amp;Sheet1!B10</f>
        <v>Faith Njeri</v>
      </c>
      <c r="B29" s="1">
        <f>Sheet1!AD10</f>
        <v>8971</v>
      </c>
      <c r="D29" t="str">
        <f t="shared" si="0"/>
        <v>maryy Atieno</v>
      </c>
      <c r="E29" s="1">
        <f t="shared" si="1"/>
        <v>6140.2000000000007</v>
      </c>
    </row>
    <row r="30" spans="1:5">
      <c r="A30" t="str">
        <f>Sheet1!A11&amp;" "&amp;Sheet1!B11</f>
        <v>Amina Hassan</v>
      </c>
      <c r="B30" s="1">
        <f>Sheet1!AD11</f>
        <v>5233</v>
      </c>
      <c r="D30" t="str">
        <f t="shared" si="0"/>
        <v>Peter Kiptoo</v>
      </c>
      <c r="E30" s="1">
        <f t="shared" si="1"/>
        <v>6091.7</v>
      </c>
    </row>
    <row r="31" spans="1:5">
      <c r="A31" t="str">
        <f>Sheet1!A12&amp;" "&amp;Sheet1!B12</f>
        <v>Kevin Kamau</v>
      </c>
      <c r="B31" s="1">
        <f>Sheet1!AD12</f>
        <v>5907</v>
      </c>
      <c r="D31" t="str">
        <f t="shared" si="0"/>
        <v>Faith Njeri</v>
      </c>
      <c r="E31" s="1">
        <f t="shared" si="1"/>
        <v>8971</v>
      </c>
    </row>
    <row r="32" spans="1:5">
      <c r="A32" t="str">
        <f>Sheet1!A13&amp;" "&amp;Sheet1!B13</f>
        <v>Nawal Abdi</v>
      </c>
      <c r="B32" s="1">
        <f>Sheet1!AD13</f>
        <v>6174.85</v>
      </c>
      <c r="D32" t="str">
        <f t="shared" si="0"/>
        <v>Amina Hassan</v>
      </c>
      <c r="E32" s="1">
        <f t="shared" si="1"/>
        <v>5233</v>
      </c>
    </row>
    <row r="33" spans="4:5">
      <c r="D33" t="str">
        <f t="shared" si="0"/>
        <v>Kevin Kamau</v>
      </c>
      <c r="E33" s="1">
        <f t="shared" si="1"/>
        <v>5907</v>
      </c>
    </row>
    <row r="34" spans="4:5">
      <c r="D34" t="str">
        <f t="shared" si="0"/>
        <v>Nawal Abdi</v>
      </c>
      <c r="E34" s="1">
        <f t="shared" si="1"/>
        <v>6174.85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2026-10-15T14:56:01Z</dcterms:created>
  <dcterms:modified xsi:type="dcterms:W3CDTF">2026-10-20T16:46:32Z</dcterms:modified>
  <cp:category/>
  <cp:contentStatus/>
</cp:coreProperties>
</file>